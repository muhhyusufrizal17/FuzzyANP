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7A54BBBB-A75D-4336-A6AA-6AA27EC72ECB}" xr6:coauthVersionLast="47" xr6:coauthVersionMax="47" xr10:uidLastSave="{00000000-0000-0000-0000-000000000000}"/>
  <bookViews>
    <workbookView xWindow="-96" yWindow="0" windowWidth="11424" windowHeight="12336" xr2:uid="{00000000-000D-0000-FFFF-FFFF00000000}"/>
  </bookViews>
  <sheets>
    <sheet name="TEMPLATE_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4" i="1"/>
  <c r="C5" i="1"/>
  <c r="F1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36" i="1"/>
  <c r="E36" i="1"/>
  <c r="F36" i="1"/>
  <c r="G36" i="1"/>
  <c r="H36" i="1"/>
  <c r="I36" i="1"/>
  <c r="I3" i="1"/>
  <c r="I2" i="1"/>
  <c r="H3" i="1"/>
  <c r="H2" i="1"/>
  <c r="G3" i="1"/>
  <c r="G2" i="1"/>
  <c r="F3" i="1"/>
  <c r="F2" i="1"/>
  <c r="E3" i="1"/>
  <c r="E2" i="1"/>
  <c r="D3" i="1"/>
  <c r="D2" i="1"/>
  <c r="C9" i="1"/>
  <c r="C7" i="1"/>
  <c r="C6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<sst xmlns="http://schemas.openxmlformats.org/spreadsheetml/2006/main" count="40" uniqueCount="20">
  <si>
    <t>DE1</t>
  </si>
  <si>
    <t>DE2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</si>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</sst>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Normal="100" workbookViewId="0">
      <selection activeCell="I9" sqref="I9"/>
    </sheetView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0</v>
      </c>
      <c r="B2" s="5">
        <v>0</v>
      </c>
      <c r="C2" s="8">
        <v>0.51</v>
      </c>
      <c r="D2" s="2">
        <f>6/7</f>
        <v>0.8571428571428571</v>
      </c>
      <c r="E2" s="2">
        <f>7/8</f>
        <v>0.875</v>
      </c>
      <c r="F2" s="2">
        <f>5/6</f>
        <v>0.83333333333333337</v>
      </c>
      <c r="G2" s="2">
        <f>1/4</f>
        <v>0.25</v>
      </c>
      <c r="H2" s="2">
        <f>1/6</f>
        <v>0.16666666666666666</v>
      </c>
      <c r="I2" s="2">
        <f>1/5</f>
        <v>0.2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 t="s">
        <v>1</v>
      </c>
      <c r="B3" s="7">
        <v>0.48899999999999999</v>
      </c>
      <c r="C3" s="5">
        <v>0</v>
      </c>
      <c r="D3" s="2">
        <f>1/7</f>
        <v>0.14285714285714285</v>
      </c>
      <c r="E3" s="2">
        <f>1/8</f>
        <v>0.125</v>
      </c>
      <c r="F3" s="2">
        <f>1/6</f>
        <v>0.16666666666666666</v>
      </c>
      <c r="G3" s="2">
        <f>3/4</f>
        <v>0.75</v>
      </c>
      <c r="H3" s="2">
        <f>5/6</f>
        <v>0.83333333333333337</v>
      </c>
      <c r="I3" s="2">
        <f>4/5</f>
        <v>0.8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1" t="s">
        <v>2</v>
      </c>
      <c r="B4" s="2">
        <f>9/39</f>
        <v>0.23076923076923078</v>
      </c>
      <c r="C4" s="3">
        <f>2/21</f>
        <v>9.5238095238095233E-2</v>
      </c>
      <c r="D4" s="5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1" t="s">
        <v>3</v>
      </c>
      <c r="B5" s="2">
        <f>6/39</f>
        <v>0.15384615384615385</v>
      </c>
      <c r="C5" s="2">
        <f>4/21</f>
        <v>0.19047619047619047</v>
      </c>
      <c r="D5">
        <v>0</v>
      </c>
      <c r="E5" s="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1" t="s">
        <v>4</v>
      </c>
      <c r="B6" s="2">
        <f>8/39</f>
        <v>0.20512820512820512</v>
      </c>
      <c r="C6" s="2">
        <f>1/21</f>
        <v>4.7619047619047616E-2</v>
      </c>
      <c r="D6">
        <v>0</v>
      </c>
      <c r="E6">
        <v>0</v>
      </c>
      <c r="F6" s="5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1" t="s">
        <v>5</v>
      </c>
      <c r="B7" s="2">
        <f>4/39</f>
        <v>0.10256410256410256</v>
      </c>
      <c r="C7" s="2">
        <f>3/21</f>
        <v>0.14285714285714285</v>
      </c>
      <c r="D7">
        <v>0</v>
      </c>
      <c r="E7">
        <v>0</v>
      </c>
      <c r="F7">
        <v>0</v>
      </c>
      <c r="G7" s="5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1" t="s">
        <v>6</v>
      </c>
      <c r="B8" s="2">
        <f>5/39</f>
        <v>0.12820512820512819</v>
      </c>
      <c r="C8" s="2">
        <f>5/21</f>
        <v>0.23809523809523808</v>
      </c>
      <c r="D8">
        <v>0</v>
      </c>
      <c r="E8">
        <v>0</v>
      </c>
      <c r="F8">
        <v>0</v>
      </c>
      <c r="G8">
        <v>0</v>
      </c>
      <c r="H8" s="5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1" t="s">
        <v>7</v>
      </c>
      <c r="B9" s="2">
        <f>7/39</f>
        <v>0.17948717948717949</v>
      </c>
      <c r="C9" s="2">
        <f>5/21</f>
        <v>0.23809523809523808</v>
      </c>
      <c r="D9">
        <v>0</v>
      </c>
      <c r="E9">
        <v>0</v>
      </c>
      <c r="F9">
        <v>0</v>
      </c>
      <c r="G9">
        <v>0</v>
      </c>
      <c r="H9">
        <v>0</v>
      </c>
      <c r="I9" s="5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1" t="s">
        <v>8</v>
      </c>
      <c r="B10">
        <v>0</v>
      </c>
      <c r="C10">
        <v>0</v>
      </c>
      <c r="D10" s="4">
        <f t="shared" ref="D10:D21" si="0">D24/$D$22</f>
        <v>0.11290322580645161</v>
      </c>
      <c r="E10" s="4">
        <f t="shared" ref="E10:E21" si="1">E24/$E$22</f>
        <v>0.1044776119402985</v>
      </c>
      <c r="F10" s="4">
        <f t="shared" ref="F10:F21" si="2">F24/$F$22</f>
        <v>0.10714285714285714</v>
      </c>
      <c r="G10" s="4">
        <f t="shared" ref="G10:G21" si="3">G24/$G$22</f>
        <v>7.2727272727272724E-2</v>
      </c>
      <c r="H10" s="4">
        <f t="shared" ref="H10:H21" si="4">H24/$H$22</f>
        <v>8.3333333333333329E-2</v>
      </c>
      <c r="I10" s="4">
        <f t="shared" ref="I10:I21" si="5">I24/$I$22</f>
        <v>0.1111111111111111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1" t="s">
        <v>9</v>
      </c>
      <c r="B11">
        <v>0</v>
      </c>
      <c r="C11">
        <v>0</v>
      </c>
      <c r="D11" s="4">
        <f t="shared" si="0"/>
        <v>9.6774193548387094E-2</v>
      </c>
      <c r="E11" s="4">
        <f t="shared" si="1"/>
        <v>8.9552238805970144E-2</v>
      </c>
      <c r="F11" s="4">
        <f t="shared" si="2"/>
        <v>5.3571428571428568E-2</v>
      </c>
      <c r="G11" s="4">
        <f t="shared" si="3"/>
        <v>7.2727272727272724E-2</v>
      </c>
      <c r="H11" s="4">
        <f t="shared" si="4"/>
        <v>8.3333333333333329E-2</v>
      </c>
      <c r="I11" s="4">
        <f t="shared" si="5"/>
        <v>4.7619047619047616E-2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1" t="s">
        <v>10</v>
      </c>
      <c r="B12">
        <v>0</v>
      </c>
      <c r="C12">
        <v>0</v>
      </c>
      <c r="D12" s="4">
        <f t="shared" si="0"/>
        <v>9.6774193548387094E-2</v>
      </c>
      <c r="E12" s="4">
        <f t="shared" si="1"/>
        <v>8.9552238805970144E-2</v>
      </c>
      <c r="F12" s="4">
        <f t="shared" si="2"/>
        <v>7.1428571428571425E-2</v>
      </c>
      <c r="G12" s="4">
        <f t="shared" si="3"/>
        <v>7.2727272727272724E-2</v>
      </c>
      <c r="H12" s="4">
        <f t="shared" si="4"/>
        <v>0.1</v>
      </c>
      <c r="I12" s="4">
        <f t="shared" si="5"/>
        <v>9.5238095238095233E-2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1" t="s">
        <v>11</v>
      </c>
      <c r="B13">
        <v>0</v>
      </c>
      <c r="C13">
        <v>0</v>
      </c>
      <c r="D13" s="4">
        <f t="shared" si="0"/>
        <v>8.0645161290322578E-2</v>
      </c>
      <c r="E13" s="4">
        <f t="shared" si="1"/>
        <v>0.1044776119402985</v>
      </c>
      <c r="F13" s="4">
        <f t="shared" si="2"/>
        <v>0.10714285714285714</v>
      </c>
      <c r="G13" s="4">
        <f t="shared" si="3"/>
        <v>9.0909090909090912E-2</v>
      </c>
      <c r="H13" s="4">
        <f t="shared" si="4"/>
        <v>0.1</v>
      </c>
      <c r="I13" s="4">
        <f t="shared" si="5"/>
        <v>9.5238095238095233E-2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1" t="s">
        <v>12</v>
      </c>
      <c r="B14">
        <v>0</v>
      </c>
      <c r="C14">
        <v>0</v>
      </c>
      <c r="D14" s="4">
        <f t="shared" si="0"/>
        <v>0.11290322580645161</v>
      </c>
      <c r="E14" s="4">
        <f t="shared" si="1"/>
        <v>7.4626865671641784E-2</v>
      </c>
      <c r="F14" s="4">
        <f t="shared" si="2"/>
        <v>8.9285714285714288E-2</v>
      </c>
      <c r="G14" s="4">
        <f t="shared" si="3"/>
        <v>9.0909090909090912E-2</v>
      </c>
      <c r="H14" s="4">
        <f t="shared" si="4"/>
        <v>8.3333333333333329E-2</v>
      </c>
      <c r="I14" s="6">
        <f t="shared" si="5"/>
        <v>7.9365079365079361E-2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1" t="s">
        <v>13</v>
      </c>
      <c r="B15">
        <v>0</v>
      </c>
      <c r="C15">
        <v>0</v>
      </c>
      <c r="D15" s="4">
        <f t="shared" si="0"/>
        <v>6.4516129032258063E-2</v>
      </c>
      <c r="E15" s="4">
        <f t="shared" si="1"/>
        <v>5.9701492537313432E-2</v>
      </c>
      <c r="F15" s="4">
        <f t="shared" si="2"/>
        <v>8.9285714285714288E-2</v>
      </c>
      <c r="G15" s="4">
        <f t="shared" si="3"/>
        <v>7.2727272727272724E-2</v>
      </c>
      <c r="H15" s="4">
        <f t="shared" si="4"/>
        <v>6.6666666666666666E-2</v>
      </c>
      <c r="I15" s="4">
        <f t="shared" si="5"/>
        <v>6.3492063492063489E-2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1" t="s">
        <v>14</v>
      </c>
      <c r="B16">
        <v>0</v>
      </c>
      <c r="C16">
        <v>0</v>
      </c>
      <c r="D16" s="4">
        <f t="shared" si="0"/>
        <v>0.11290322580645161</v>
      </c>
      <c r="E16" s="4">
        <f t="shared" si="1"/>
        <v>0.1044776119402985</v>
      </c>
      <c r="F16" s="4">
        <f t="shared" si="2"/>
        <v>0.10714285714285714</v>
      </c>
      <c r="G16" s="4">
        <f t="shared" si="3"/>
        <v>7.2727272727272724E-2</v>
      </c>
      <c r="H16" s="4">
        <f t="shared" si="4"/>
        <v>0.1</v>
      </c>
      <c r="I16" s="4">
        <f t="shared" si="5"/>
        <v>7.9365079365079361E-2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1" t="s">
        <v>15</v>
      </c>
      <c r="B17">
        <v>0</v>
      </c>
      <c r="C17">
        <v>0</v>
      </c>
      <c r="D17" s="4">
        <f t="shared" si="0"/>
        <v>4.8387096774193547E-2</v>
      </c>
      <c r="E17" s="4">
        <f t="shared" si="1"/>
        <v>4.4776119402985072E-2</v>
      </c>
      <c r="F17" s="4">
        <f t="shared" si="2"/>
        <v>5.3571428571428568E-2</v>
      </c>
      <c r="G17" s="4">
        <f t="shared" si="3"/>
        <v>7.2727272727272724E-2</v>
      </c>
      <c r="H17" s="4">
        <f t="shared" si="4"/>
        <v>0.05</v>
      </c>
      <c r="I17" s="4">
        <f t="shared" si="5"/>
        <v>4.7619047619047616E-2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1" t="s">
        <v>16</v>
      </c>
      <c r="B18">
        <v>0</v>
      </c>
      <c r="C18">
        <v>0</v>
      </c>
      <c r="D18" s="4">
        <f t="shared" si="0"/>
        <v>4.8387096774193547E-2</v>
      </c>
      <c r="E18" s="4">
        <f t="shared" si="1"/>
        <v>8.9552238805970144E-2</v>
      </c>
      <c r="F18" s="4">
        <f t="shared" si="2"/>
        <v>8.9285714285714288E-2</v>
      </c>
      <c r="G18" s="4">
        <f t="shared" si="3"/>
        <v>9.0909090909090912E-2</v>
      </c>
      <c r="H18" s="4">
        <f t="shared" si="4"/>
        <v>8.3333333333333329E-2</v>
      </c>
      <c r="I18" s="4">
        <f t="shared" si="5"/>
        <v>9.5238095238095233E-2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1" t="s">
        <v>17</v>
      </c>
      <c r="B19">
        <v>0</v>
      </c>
      <c r="C19">
        <v>0</v>
      </c>
      <c r="D19" s="4">
        <f t="shared" si="0"/>
        <v>8.0645161290322578E-2</v>
      </c>
      <c r="E19" s="4">
        <f t="shared" si="1"/>
        <v>8.9552238805970144E-2</v>
      </c>
      <c r="F19" s="4">
        <f>F33/$F$22</f>
        <v>8.9285714285714288E-2</v>
      </c>
      <c r="G19" s="4">
        <f t="shared" si="3"/>
        <v>0.10909090909090909</v>
      </c>
      <c r="H19" s="4">
        <f t="shared" si="4"/>
        <v>0.1</v>
      </c>
      <c r="I19" s="4">
        <f t="shared" si="5"/>
        <v>0.1111111111111111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1" t="s">
        <v>18</v>
      </c>
      <c r="B20">
        <v>0</v>
      </c>
      <c r="C20">
        <v>0</v>
      </c>
      <c r="D20" s="4">
        <f t="shared" si="0"/>
        <v>6.4516129032258063E-2</v>
      </c>
      <c r="E20" s="4">
        <f t="shared" si="1"/>
        <v>7.4626865671641784E-2</v>
      </c>
      <c r="F20" s="4">
        <f t="shared" si="2"/>
        <v>7.1428571428571425E-2</v>
      </c>
      <c r="G20" s="4">
        <f t="shared" si="3"/>
        <v>0.10909090909090909</v>
      </c>
      <c r="H20" s="4">
        <f t="shared" si="4"/>
        <v>8.3333333333333329E-2</v>
      </c>
      <c r="I20" s="4">
        <f t="shared" si="5"/>
        <v>0.1111111111111111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s="1" t="s">
        <v>19</v>
      </c>
      <c r="B21">
        <v>0</v>
      </c>
      <c r="C21">
        <v>0</v>
      </c>
      <c r="D21" s="4">
        <f t="shared" si="0"/>
        <v>8.0645161290322578E-2</v>
      </c>
      <c r="E21" s="4">
        <f t="shared" si="1"/>
        <v>7.4626865671641784E-2</v>
      </c>
      <c r="F21" s="4">
        <f t="shared" si="2"/>
        <v>7.1428571428571425E-2</v>
      </c>
      <c r="G21" s="4">
        <f t="shared" si="3"/>
        <v>7.2727272727272724E-2</v>
      </c>
      <c r="H21" s="4">
        <f t="shared" si="4"/>
        <v>6.6666666666666666E-2</v>
      </c>
      <c r="I21" s="4">
        <f t="shared" si="5"/>
        <v>6.3492063492063489E-2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D22">
        <v>62</v>
      </c>
      <c r="E22">
        <v>67</v>
      </c>
      <c r="F22">
        <v>56</v>
      </c>
      <c r="G22">
        <v>55</v>
      </c>
      <c r="H22">
        <v>60</v>
      </c>
      <c r="I22">
        <v>63</v>
      </c>
    </row>
    <row r="24" spans="1:21" x14ac:dyDescent="0.3">
      <c r="D24">
        <v>7</v>
      </c>
      <c r="E24">
        <v>7</v>
      </c>
      <c r="F24">
        <v>6</v>
      </c>
      <c r="G24">
        <v>4</v>
      </c>
      <c r="H24">
        <v>5</v>
      </c>
      <c r="I24">
        <v>7</v>
      </c>
    </row>
    <row r="25" spans="1:21" x14ac:dyDescent="0.3">
      <c r="D25">
        <v>6</v>
      </c>
      <c r="E25">
        <v>6</v>
      </c>
      <c r="F25">
        <v>3</v>
      </c>
      <c r="G25">
        <v>4</v>
      </c>
      <c r="H25">
        <v>5</v>
      </c>
      <c r="I25">
        <v>3</v>
      </c>
    </row>
    <row r="26" spans="1:21" x14ac:dyDescent="0.3">
      <c r="D26">
        <v>6</v>
      </c>
      <c r="E26">
        <v>6</v>
      </c>
      <c r="F26">
        <v>4</v>
      </c>
      <c r="G26">
        <v>4</v>
      </c>
      <c r="H26">
        <v>6</v>
      </c>
      <c r="I26">
        <v>6</v>
      </c>
    </row>
    <row r="27" spans="1:21" x14ac:dyDescent="0.3">
      <c r="D27">
        <v>5</v>
      </c>
      <c r="E27">
        <v>7</v>
      </c>
      <c r="F27">
        <v>6</v>
      </c>
      <c r="G27">
        <v>5</v>
      </c>
      <c r="H27">
        <v>6</v>
      </c>
      <c r="I27">
        <v>6</v>
      </c>
    </row>
    <row r="28" spans="1:21" x14ac:dyDescent="0.3">
      <c r="D28">
        <v>7</v>
      </c>
      <c r="E28">
        <v>5</v>
      </c>
      <c r="F28">
        <v>5</v>
      </c>
      <c r="G28">
        <v>5</v>
      </c>
      <c r="H28">
        <v>5</v>
      </c>
      <c r="I28">
        <v>5</v>
      </c>
    </row>
    <row r="29" spans="1:21" x14ac:dyDescent="0.3">
      <c r="D29">
        <v>4</v>
      </c>
      <c r="E29">
        <v>4</v>
      </c>
      <c r="F29">
        <v>5</v>
      </c>
      <c r="G29">
        <v>4</v>
      </c>
      <c r="H29">
        <v>4</v>
      </c>
      <c r="I29">
        <v>4</v>
      </c>
    </row>
    <row r="30" spans="1:21" x14ac:dyDescent="0.3">
      <c r="D30">
        <v>7</v>
      </c>
      <c r="E30">
        <v>7</v>
      </c>
      <c r="F30">
        <v>6</v>
      </c>
      <c r="G30">
        <v>4</v>
      </c>
      <c r="H30">
        <v>6</v>
      </c>
      <c r="I30">
        <v>5</v>
      </c>
    </row>
    <row r="31" spans="1:21" x14ac:dyDescent="0.3">
      <c r="D31">
        <v>3</v>
      </c>
      <c r="E31">
        <v>3</v>
      </c>
      <c r="F31">
        <v>3</v>
      </c>
      <c r="G31">
        <v>4</v>
      </c>
      <c r="H31">
        <v>3</v>
      </c>
      <c r="I31">
        <v>3</v>
      </c>
    </row>
    <row r="32" spans="1:21" x14ac:dyDescent="0.3">
      <c r="D32">
        <v>3</v>
      </c>
      <c r="E32">
        <v>6</v>
      </c>
      <c r="F32">
        <v>5</v>
      </c>
      <c r="G32">
        <v>5</v>
      </c>
      <c r="H32">
        <v>5</v>
      </c>
      <c r="I32">
        <v>6</v>
      </c>
    </row>
    <row r="33" spans="4:9" x14ac:dyDescent="0.3">
      <c r="D33">
        <v>5</v>
      </c>
      <c r="E33">
        <v>6</v>
      </c>
      <c r="F33">
        <v>5</v>
      </c>
      <c r="G33">
        <v>6</v>
      </c>
      <c r="H33">
        <v>6</v>
      </c>
      <c r="I33">
        <v>7</v>
      </c>
    </row>
    <row r="34" spans="4:9" x14ac:dyDescent="0.3">
      <c r="D34">
        <v>4</v>
      </c>
      <c r="E34">
        <v>5</v>
      </c>
      <c r="F34">
        <v>4</v>
      </c>
      <c r="G34">
        <v>6</v>
      </c>
      <c r="H34">
        <v>5</v>
      </c>
      <c r="I34">
        <v>7</v>
      </c>
    </row>
    <row r="35" spans="4:9" x14ac:dyDescent="0.3">
      <c r="D35">
        <v>5</v>
      </c>
      <c r="E35">
        <v>5</v>
      </c>
      <c r="F35">
        <v>4</v>
      </c>
      <c r="G35">
        <v>4</v>
      </c>
      <c r="H35">
        <v>4</v>
      </c>
      <c r="I35">
        <v>4</v>
      </c>
    </row>
    <row r="36" spans="4:9" x14ac:dyDescent="0.3">
      <c r="D36">
        <f t="shared" ref="D36:I36" si="6">SUM(D24:D35)</f>
        <v>62</v>
      </c>
      <c r="E36">
        <f t="shared" si="6"/>
        <v>67</v>
      </c>
      <c r="F36">
        <f t="shared" si="6"/>
        <v>56</v>
      </c>
      <c r="G36">
        <f t="shared" si="6"/>
        <v>55</v>
      </c>
      <c r="H36">
        <f t="shared" si="6"/>
        <v>60</v>
      </c>
      <c r="I36">
        <f t="shared" si="6"/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Yusuf Rizal</cp:lastModifiedBy>
  <dcterms:created xsi:type="dcterms:W3CDTF">2025-12-06T14:22:04Z</dcterms:created>
  <dcterms:modified xsi:type="dcterms:W3CDTF">2025-12-17T02:37:12Z</dcterms:modified>
</cp:coreProperties>
</file>